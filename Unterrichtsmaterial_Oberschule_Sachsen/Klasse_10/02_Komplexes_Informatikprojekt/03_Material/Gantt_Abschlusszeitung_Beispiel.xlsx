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c2ce440b7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ktplan" sheetId="1" r:id="R9aeab3103ea84ca6"/>
    <x:sheet xmlns:r="http://schemas.openxmlformats.org/officeDocument/2006/relationships" name="Hinweise" sheetId="2" r:id="R0caeab7c6130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dd.mm.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D69AA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85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2" borderId="0" xfId="0" applyNumberFormat="1" applyFont="1" applyFill="1" applyBorder="1"/>
    <x:xf numFmtId="202" fontId="0" fillId="2" borderId="1" xfId="0" applyNumberFormat="1" applyFont="1" applyFill="1" applyBorder="1"/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2" fontId="2" fillId="2" borderId="0" xfId="0" applyNumberFormat="1" applyFont="1" applyFill="1" applyBorder="1" applyAlignment="1">
      <x:alignment horizontal="center"/>
    </x:xf>
    <x:xf numFmtId="202" fontId="2" fillId="2" borderId="1" xfId="0" applyNumberFormat="1" applyFont="1" applyFill="1" applyBorder="1" applyAlignment="1">
      <x:alignment horizont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d51f7f9b64860" /><Relationship Type="http://schemas.openxmlformats.org/officeDocument/2006/relationships/theme" Target="/xl/theme/theme1.xml" Id="R6a7789f3dfa14d0f" /><Relationship Type="http://schemas.openxmlformats.org/officeDocument/2006/relationships/sharedStrings" Target="/xl/sharedStrings.xml" Id="R55d137b49e814b85" /><Relationship Type="http://schemas.openxmlformats.org/officeDocument/2006/relationships/worksheet" Target="/xl/worksheets/sheet1.xml" Id="R9aeab3103ea84ca6" /><Relationship Type="http://schemas.openxmlformats.org/officeDocument/2006/relationships/worksheet" Target="/xl/worksheets/sheet2.xml" Id="R0caeab7c6130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" hidden="0" customWidth="1"/>
    <x:col min="3" max="3" width="30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6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4" t="str">
        <x:v>Gantt-Diagramm – Beispiel Abschlusszeitung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2" t="str">
        <x:v>ID</x:v>
      </x:c>
      <x:c r="B3" s="12" t="str">
        <x:v>Teilprojekt</x:v>
      </x:c>
      <x:c r="C3" s="12" t="str">
        <x:v>Aufgabe</x:v>
      </x:c>
      <x:c r="D3" s="12" t="str">
        <x:v>Verantwortlich</x:v>
      </x:c>
      <x:c r="E3" s="12" t="str">
        <x:v>Start</x:v>
      </x:c>
      <x:c r="F3" s="12" t="str">
        <x:v>Ende</x:v>
      </x:c>
      <x:c r="G3" s="12" t="str">
        <x:v>Dauer</x:v>
      </x:c>
      <x:c r="H3" s="12" t="str">
        <x:v>Abhängigkeit</x:v>
      </x:c>
      <x:c r="I3" s="12" t="str">
        <x:v>Status</x:v>
      </x:c>
      <x:c r="J3" s="12" t="str">
        <x:v>Meilenstein</x:v>
      </x:c>
      <x:c r="K3" s="28" t="n">
        <x:v>46440</x:v>
      </x:c>
      <x:c r="L3" s="28" t="n">
        <x:v>46447</x:v>
      </x:c>
      <x:c r="M3" s="28" t="n">
        <x:v>46454</x:v>
      </x:c>
      <x:c r="N3" s="28" t="n">
        <x:v>46461</x:v>
      </x:c>
      <x:c r="O3" s="28" t="n">
        <x:v>46468</x:v>
      </x:c>
      <x:c r="P3" s="28" t="n">
        <x:v>46475</x:v>
      </x:c>
      <x:c r="Q3" s="28" t="n">
        <x:v>46482</x:v>
      </x:c>
      <x:c r="R3" s="28" t="n">
        <x:v>46489</x:v>
      </x:c>
      <x:c r="S3" s="28" t="n">
        <x:v>46496</x:v>
      </x:c>
      <x:c r="T3" s="28" t="n">
        <x:v>46503</x:v>
      </x:c>
      <x:c r="U3" s="28" t="n">
        <x:v>46510</x:v>
      </x:c>
      <x:c r="V3" s="28" t="n">
        <x:v>46517</x:v>
      </x:c>
    </x:row>
    <x:row r="4">
      <x:c r="A4" s="34" t="n">
        <x:v>1</x:v>
      </x:c>
      <x:c r="B4" s="34" t="str">
        <x:v>Planung</x:v>
      </x:c>
      <x:c r="C4" s="34" t="str">
        <x:v>Kick-off / Projektauftrag</x:v>
      </x:c>
      <x:c r="D4" s="34" t="str">
        <x:v>Projektteam</x:v>
      </x:c>
      <x:c r="E4" s="35" t="n">
        <x:v>46440</x:v>
      </x:c>
      <x:c r="F4" s="35" t="n">
        <x:v>46440</x:v>
      </x:c>
      <x:c r="G4" s="36" t="n">
        <x:f>IF(OR(E4="",F4=""),"",F4-E4+1)</x:f>
        <x:v>1</x:v>
      </x:c>
      <x:c r="H4" s="34" t="str">
        <x:v>-</x:v>
      </x:c>
      <x:c r="I4" s="34" t="str">
        <x:v>Fertig</x:v>
      </x:c>
      <x:c r="J4" s="34" t="str">
        <x:v>Ja</x:v>
      </x:c>
      <x:c r="K4" s="37" t="str">
        <x:f>IF(AND(K$3&lt;=$F4,K$3+6&gt;=$E4),"■","")</x:f>
        <x:v>■</x:v>
      </x:c>
      <x:c r="L4" s="37" t="str">
        <x:f>IF(AND(L$3&lt;=$F4,L$3+6&gt;=$E4),"■","")</x:f>
      </x:c>
      <x:c r="M4" s="37" t="str">
        <x:f>IF(AND(M$3&lt;=$F4,M$3+6&gt;=$E4),"■","")</x:f>
      </x:c>
      <x:c r="N4" s="37" t="str">
        <x:f>IF(AND(N$3&lt;=$F4,N$3+6&gt;=$E4),"■","")</x:f>
      </x:c>
      <x:c r="O4" s="37" t="str">
        <x:f>IF(AND(O$3&lt;=$F4,O$3+6&gt;=$E4),"■","")</x:f>
      </x:c>
      <x:c r="P4" s="37" t="str">
        <x:f>IF(AND(P$3&lt;=$F4,P$3+6&gt;=$E4),"■","")</x:f>
      </x:c>
      <x:c r="Q4" s="37" t="str">
        <x:f>IF(AND(Q$3&lt;=$F4,Q$3+6&gt;=$E4),"■","")</x:f>
      </x:c>
      <x:c r="R4" s="37" t="str">
        <x:f>IF(AND(R$3&lt;=$F4,R$3+6&gt;=$E4),"■","")</x:f>
      </x:c>
      <x:c r="S4" s="37" t="str">
        <x:f>IF(AND(S$3&lt;=$F4,S$3+6&gt;=$E4),"■","")</x:f>
      </x:c>
      <x:c r="T4" s="37" t="str">
        <x:f>IF(AND(T$3&lt;=$F4,T$3+6&gt;=$E4),"■","")</x:f>
      </x:c>
      <x:c r="U4" s="37" t="str">
        <x:f>IF(AND(U$3&lt;=$F4,U$3+6&gt;=$E4),"■","")</x:f>
      </x:c>
      <x:c r="V4" s="37" t="str">
        <x:f>IF(AND(V$3&lt;=$F4,V$3+6&gt;=$E4),"■","")</x:f>
      </x:c>
    </x:row>
    <x:row r="5">
      <x:c r="A5" s="34" t="n">
        <x:v>2</x:v>
      </x:c>
      <x:c r="B5" s="34" t="str">
        <x:v>Redaktion</x:v>
      </x:c>
      <x:c r="C5" s="34" t="str">
        <x:v>Themen und Beiträge planen</x:v>
      </x:c>
      <x:c r="D5" s="34" t="str">
        <x:v>Redaktion</x:v>
      </x:c>
      <x:c r="E5" s="35" t="n">
        <x:v>46447</x:v>
      </x:c>
      <x:c r="F5" s="35" t="n">
        <x:v>46451</x:v>
      </x:c>
      <x:c r="G5" s="36" t="n">
        <x:f>IF(OR(E5="",F5=""),"",F5-E5+1)</x:f>
        <x:v>5</x:v>
      </x:c>
      <x:c r="H5" s="34" t="str">
        <x:v>1</x:v>
      </x:c>
      <x:c r="I5" s="34" t="str">
        <x:v>Fertig</x:v>
      </x:c>
      <x:c r="J5" s="34" t="str">
        <x:v>Ja</x:v>
      </x:c>
      <x:c r="K5" s="37" t="str">
        <x:f>IF(AND(K$3&lt;=$F5,K$3+6&gt;=$E5),"■","")</x:f>
      </x:c>
      <x:c r="L5" s="37" t="str">
        <x:f>IF(AND(L$3&lt;=$F5,L$3+6&gt;=$E5),"■","")</x:f>
        <x:v>■</x:v>
      </x:c>
      <x:c r="M5" s="37" t="str">
        <x:f>IF(AND(M$3&lt;=$F5,M$3+6&gt;=$E5),"■","")</x:f>
      </x:c>
      <x:c r="N5" s="37" t="str">
        <x:f>IF(AND(N$3&lt;=$F5,N$3+6&gt;=$E5),"■","")</x:f>
      </x:c>
      <x:c r="O5" s="37" t="str">
        <x:f>IF(AND(O$3&lt;=$F5,O$3+6&gt;=$E5),"■","")</x:f>
      </x:c>
      <x:c r="P5" s="37" t="str">
        <x:f>IF(AND(P$3&lt;=$F5,P$3+6&gt;=$E5),"■","")</x:f>
      </x:c>
      <x:c r="Q5" s="37" t="str">
        <x:f>IF(AND(Q$3&lt;=$F5,Q$3+6&gt;=$E5),"■","")</x:f>
      </x:c>
      <x:c r="R5" s="37" t="str">
        <x:f>IF(AND(R$3&lt;=$F5,R$3+6&gt;=$E5),"■","")</x:f>
      </x:c>
      <x:c r="S5" s="37" t="str">
        <x:f>IF(AND(S$3&lt;=$F5,S$3+6&gt;=$E5),"■","")</x:f>
      </x:c>
      <x:c r="T5" s="37" t="str">
        <x:f>IF(AND(T$3&lt;=$F5,T$3+6&gt;=$E5),"■","")</x:f>
      </x:c>
      <x:c r="U5" s="37" t="str">
        <x:f>IF(AND(U$3&lt;=$F5,U$3+6&gt;=$E5),"■","")</x:f>
      </x:c>
      <x:c r="V5" s="37" t="str">
        <x:f>IF(AND(V$3&lt;=$F5,V$3+6&gt;=$E5),"■","")</x:f>
      </x:c>
    </x:row>
    <x:row r="6">
      <x:c r="A6" s="34" t="n">
        <x:v>3</x:v>
      </x:c>
      <x:c r="B6" s="34" t="str">
        <x:v>Rechte</x:v>
      </x:c>
      <x:c r="C6" s="34" t="str">
        <x:v>Einwilligungen / Rahmen klären</x:v>
      </x:c>
      <x:c r="D6" s="34" t="str">
        <x:v>Koordination</x:v>
      </x:c>
      <x:c r="E6" s="35" t="n">
        <x:v>46447</x:v>
      </x:c>
      <x:c r="F6" s="35" t="n">
        <x:v>46458</x:v>
      </x:c>
      <x:c r="G6" s="36" t="n">
        <x:f>IF(OR(E6="",F6=""),"",F6-E6+1)</x:f>
        <x:v>12</x:v>
      </x:c>
      <x:c r="H6" s="34" t="str">
        <x:v>1</x:v>
      </x:c>
      <x:c r="I6" s="34" t="str">
        <x:v>In Arbeit</x:v>
      </x:c>
      <x:c r="J6" s="34" t="str">
        <x:v>Nein</x:v>
      </x:c>
      <x:c r="K6" s="37" t="str">
        <x:f>IF(AND(K$3&lt;=$F6,K$3+6&gt;=$E6),"■","")</x:f>
      </x:c>
      <x:c r="L6" s="37" t="str">
        <x:f>IF(AND(L$3&lt;=$F6,L$3+6&gt;=$E6),"■","")</x:f>
        <x:v>■</x:v>
      </x:c>
      <x:c r="M6" s="37" t="str">
        <x:f>IF(AND(M$3&lt;=$F6,M$3+6&gt;=$E6),"■","")</x:f>
        <x:v>■</x:v>
      </x:c>
      <x:c r="N6" s="37" t="str">
        <x:f>IF(AND(N$3&lt;=$F6,N$3+6&gt;=$E6),"■","")</x:f>
      </x:c>
      <x:c r="O6" s="37" t="str">
        <x:f>IF(AND(O$3&lt;=$F6,O$3+6&gt;=$E6),"■","")</x:f>
      </x:c>
      <x:c r="P6" s="37" t="str">
        <x:f>IF(AND(P$3&lt;=$F6,P$3+6&gt;=$E6),"■","")</x:f>
      </x:c>
      <x:c r="Q6" s="37" t="str">
        <x:f>IF(AND(Q$3&lt;=$F6,Q$3+6&gt;=$E6),"■","")</x:f>
      </x:c>
      <x:c r="R6" s="37" t="str">
        <x:f>IF(AND(R$3&lt;=$F6,R$3+6&gt;=$E6),"■","")</x:f>
      </x:c>
      <x:c r="S6" s="37" t="str">
        <x:f>IF(AND(S$3&lt;=$F6,S$3+6&gt;=$E6),"■","")</x:f>
      </x:c>
      <x:c r="T6" s="37" t="str">
        <x:f>IF(AND(T$3&lt;=$F6,T$3+6&gt;=$E6),"■","")</x:f>
      </x:c>
      <x:c r="U6" s="37" t="str">
        <x:f>IF(AND(U$3&lt;=$F6,U$3+6&gt;=$E6),"■","")</x:f>
      </x:c>
      <x:c r="V6" s="37" t="str">
        <x:f>IF(AND(V$3&lt;=$F6,V$3+6&gt;=$E6),"■","")</x:f>
      </x:c>
    </x:row>
    <x:row r="7">
      <x:c r="A7" s="34" t="n">
        <x:v>4</x:v>
      </x:c>
      <x:c r="B7" s="34" t="str">
        <x:v>Redaktion</x:v>
      </x:c>
      <x:c r="C7" s="34" t="str">
        <x:v>Texte und Interviews</x:v>
      </x:c>
      <x:c r="D7" s="34" t="str">
        <x:v>Redaktion</x:v>
      </x:c>
      <x:c r="E7" s="35" t="n">
        <x:v>46454</x:v>
      </x:c>
      <x:c r="F7" s="35" t="n">
        <x:v>46472</x:v>
      </x:c>
      <x:c r="G7" s="36" t="n">
        <x:f>IF(OR(E7="",F7=""),"",F7-E7+1)</x:f>
        <x:v>19</x:v>
      </x:c>
      <x:c r="H7" s="34" t="str">
        <x:v>2</x:v>
      </x:c>
      <x:c r="I7" s="34" t="str">
        <x:v>In Arbeit</x:v>
      </x:c>
      <x:c r="J7" s="34" t="str">
        <x:v>Nein</x:v>
      </x:c>
      <x:c r="K7" s="37" t="str">
        <x:f>IF(AND(K$3&lt;=$F7,K$3+6&gt;=$E7),"■","")</x:f>
      </x:c>
      <x:c r="L7" s="37" t="str">
        <x:f>IF(AND(L$3&lt;=$F7,L$3+6&gt;=$E7),"■","")</x:f>
      </x:c>
      <x:c r="M7" s="37" t="str">
        <x:f>IF(AND(M$3&lt;=$F7,M$3+6&gt;=$E7),"■","")</x:f>
        <x:v>■</x:v>
      </x:c>
      <x:c r="N7" s="37" t="str">
        <x:f>IF(AND(N$3&lt;=$F7,N$3+6&gt;=$E7),"■","")</x:f>
        <x:v>■</x:v>
      </x:c>
      <x:c r="O7" s="37" t="str">
        <x:f>IF(AND(O$3&lt;=$F7,O$3+6&gt;=$E7),"■","")</x:f>
        <x:v>■</x:v>
      </x:c>
      <x:c r="P7" s="37" t="str">
        <x:f>IF(AND(P$3&lt;=$F7,P$3+6&gt;=$E7),"■","")</x:f>
      </x:c>
      <x:c r="Q7" s="37" t="str">
        <x:f>IF(AND(Q$3&lt;=$F7,Q$3+6&gt;=$E7),"■","")</x:f>
      </x:c>
      <x:c r="R7" s="37" t="str">
        <x:f>IF(AND(R$3&lt;=$F7,R$3+6&gt;=$E7),"■","")</x:f>
      </x:c>
      <x:c r="S7" s="37" t="str">
        <x:f>IF(AND(S$3&lt;=$F7,S$3+6&gt;=$E7),"■","")</x:f>
      </x:c>
      <x:c r="T7" s="37" t="str">
        <x:f>IF(AND(T$3&lt;=$F7,T$3+6&gt;=$E7),"■","")</x:f>
      </x:c>
      <x:c r="U7" s="37" t="str">
        <x:f>IF(AND(U$3&lt;=$F7,U$3+6&gt;=$E7),"■","")</x:f>
      </x:c>
      <x:c r="V7" s="37" t="str">
        <x:f>IF(AND(V$3&lt;=$F7,V$3+6&gt;=$E7),"■","")</x:f>
      </x:c>
    </x:row>
    <x:row r="8">
      <x:c r="A8" s="34" t="n">
        <x:v>5</x:v>
      </x:c>
      <x:c r="B8" s="34" t="str">
        <x:v>Medien</x:v>
      </x:c>
      <x:c r="C8" s="34" t="str">
        <x:v>Fotos und Grafiken</x:v>
      </x:c>
      <x:c r="D8" s="34" t="str">
        <x:v>Medien</x:v>
      </x:c>
      <x:c r="E8" s="35" t="n">
        <x:v>46454</x:v>
      </x:c>
      <x:c r="F8" s="35" t="n">
        <x:v>46472</x:v>
      </x:c>
      <x:c r="G8" s="36" t="n">
        <x:f>IF(OR(E8="",F8=""),"",F8-E8+1)</x:f>
        <x:v>19</x:v>
      </x:c>
      <x:c r="H8" s="34" t="str">
        <x:v>2,3</x:v>
      </x:c>
      <x:c r="I8" s="34" t="str">
        <x:v>In Arbeit</x:v>
      </x:c>
      <x:c r="J8" s="34" t="str">
        <x:v>Nein</x:v>
      </x:c>
      <x:c r="K8" s="37" t="str">
        <x:f>IF(AND(K$3&lt;=$F8,K$3+6&gt;=$E8),"■","")</x:f>
      </x:c>
      <x:c r="L8" s="37" t="str">
        <x:f>IF(AND(L$3&lt;=$F8,L$3+6&gt;=$E8),"■","")</x:f>
      </x:c>
      <x:c r="M8" s="37" t="str">
        <x:f>IF(AND(M$3&lt;=$F8,M$3+6&gt;=$E8),"■","")</x:f>
        <x:v>■</x:v>
      </x:c>
      <x:c r="N8" s="37" t="str">
        <x:f>IF(AND(N$3&lt;=$F8,N$3+6&gt;=$E8),"■","")</x:f>
        <x:v>■</x:v>
      </x:c>
      <x:c r="O8" s="37" t="str">
        <x:f>IF(AND(O$3&lt;=$F8,O$3+6&gt;=$E8),"■","")</x:f>
        <x:v>■</x:v>
      </x:c>
      <x:c r="P8" s="37" t="str">
        <x:f>IF(AND(P$3&lt;=$F8,P$3+6&gt;=$E8),"■","")</x:f>
      </x:c>
      <x:c r="Q8" s="37" t="str">
        <x:f>IF(AND(Q$3&lt;=$F8,Q$3+6&gt;=$E8),"■","")</x:f>
      </x:c>
      <x:c r="R8" s="37" t="str">
        <x:f>IF(AND(R$3&lt;=$F8,R$3+6&gt;=$E8),"■","")</x:f>
      </x:c>
      <x:c r="S8" s="37" t="str">
        <x:f>IF(AND(S$3&lt;=$F8,S$3+6&gt;=$E8),"■","")</x:f>
      </x:c>
      <x:c r="T8" s="37" t="str">
        <x:f>IF(AND(T$3&lt;=$F8,T$3+6&gt;=$E8),"■","")</x:f>
      </x:c>
      <x:c r="U8" s="37" t="str">
        <x:f>IF(AND(U$3&lt;=$F8,U$3+6&gt;=$E8),"■","")</x:f>
      </x:c>
      <x:c r="V8" s="37" t="str">
        <x:f>IF(AND(V$3&lt;=$F8,V$3+6&gt;=$E8),"■","")</x:f>
      </x:c>
    </x:row>
    <x:row r="9">
      <x:c r="A9" s="34" t="n">
        <x:v>6</x:v>
      </x:c>
      <x:c r="B9" s="34" t="str">
        <x:v>Daten</x:v>
      </x:c>
      <x:c r="C9" s="34" t="str">
        <x:v>Umfrage und Auswertung</x:v>
      </x:c>
      <x:c r="D9" s="34" t="str">
        <x:v>Datenteam</x:v>
      </x:c>
      <x:c r="E9" s="35" t="n">
        <x:v>46454</x:v>
      </x:c>
      <x:c r="F9" s="35" t="n">
        <x:v>46465</x:v>
      </x:c>
      <x:c r="G9" s="36" t="n">
        <x:f>IF(OR(E9="",F9=""),"",F9-E9+1)</x:f>
        <x:v>12</x:v>
      </x:c>
      <x:c r="H9" s="34" t="str">
        <x:v>2</x:v>
      </x:c>
      <x:c r="I9" s="34" t="str">
        <x:v>Offen</x:v>
      </x:c>
      <x:c r="J9" s="34" t="str">
        <x:v>Nein</x:v>
      </x:c>
      <x:c r="K9" s="37" t="str">
        <x:f>IF(AND(K$3&lt;=$F9,K$3+6&gt;=$E9),"■","")</x:f>
      </x:c>
      <x:c r="L9" s="37" t="str">
        <x:f>IF(AND(L$3&lt;=$F9,L$3+6&gt;=$E9),"■","")</x:f>
      </x:c>
      <x:c r="M9" s="37" t="str">
        <x:f>IF(AND(M$3&lt;=$F9,M$3+6&gt;=$E9),"■","")</x:f>
        <x:v>■</x:v>
      </x:c>
      <x:c r="N9" s="37" t="str">
        <x:f>IF(AND(N$3&lt;=$F9,N$3+6&gt;=$E9),"■","")</x:f>
        <x:v>■</x:v>
      </x:c>
      <x:c r="O9" s="37" t="str">
        <x:f>IF(AND(O$3&lt;=$F9,O$3+6&gt;=$E9),"■","")</x:f>
      </x:c>
      <x:c r="P9" s="37" t="str">
        <x:f>IF(AND(P$3&lt;=$F9,P$3+6&gt;=$E9),"■","")</x:f>
      </x:c>
      <x:c r="Q9" s="37" t="str">
        <x:f>IF(AND(Q$3&lt;=$F9,Q$3+6&gt;=$E9),"■","")</x:f>
      </x:c>
      <x:c r="R9" s="37" t="str">
        <x:f>IF(AND(R$3&lt;=$F9,R$3+6&gt;=$E9),"■","")</x:f>
      </x:c>
      <x:c r="S9" s="37" t="str">
        <x:f>IF(AND(S$3&lt;=$F9,S$3+6&gt;=$E9),"■","")</x:f>
      </x:c>
      <x:c r="T9" s="37" t="str">
        <x:f>IF(AND(T$3&lt;=$F9,T$3+6&gt;=$E9),"■","")</x:f>
      </x:c>
      <x:c r="U9" s="37" t="str">
        <x:f>IF(AND(U$3&lt;=$F9,U$3+6&gt;=$E9),"■","")</x:f>
      </x:c>
      <x:c r="V9" s="37" t="str">
        <x:f>IF(AND(V$3&lt;=$F9,V$3+6&gt;=$E9),"■","")</x:f>
      </x:c>
    </x:row>
    <x:row r="10">
      <x:c r="A10" s="34" t="n">
        <x:v>7</x:v>
      </x:c>
      <x:c r="B10" s="34" t="str">
        <x:v>Layout</x:v>
      </x:c>
      <x:c r="C10" s="34" t="str">
        <x:v>Layoutvorlage</x:v>
      </x:c>
      <x:c r="D10" s="34" t="str">
        <x:v>Layout</x:v>
      </x:c>
      <x:c r="E10" s="35" t="n">
        <x:v>46454</x:v>
      </x:c>
      <x:c r="F10" s="35" t="n">
        <x:v>46461</x:v>
      </x:c>
      <x:c r="G10" s="36" t="n">
        <x:f>IF(OR(E10="",F10=""),"",F10-E10+1)</x:f>
        <x:v>8</x:v>
      </x:c>
      <x:c r="H10" s="34" t="str">
        <x:v>2</x:v>
      </x:c>
      <x:c r="I10" s="34" t="str">
        <x:v>Fertig</x:v>
      </x:c>
      <x:c r="J10" s="34" t="str">
        <x:v>Nein</x:v>
      </x:c>
      <x:c r="K10" s="37" t="str">
        <x:f>IF(AND(K$3&lt;=$F10,K$3+6&gt;=$E10),"■","")</x:f>
      </x:c>
      <x:c r="L10" s="37" t="str">
        <x:f>IF(AND(L$3&lt;=$F10,L$3+6&gt;=$E10),"■","")</x:f>
      </x:c>
      <x:c r="M10" s="37" t="str">
        <x:f>IF(AND(M$3&lt;=$F10,M$3+6&gt;=$E10),"■","")</x:f>
        <x:v>■</x:v>
      </x:c>
      <x:c r="N10" s="37" t="str">
        <x:f>IF(AND(N$3&lt;=$F10,N$3+6&gt;=$E10),"■","")</x:f>
        <x:v>■</x:v>
      </x:c>
      <x:c r="O10" s="37" t="str">
        <x:f>IF(AND(O$3&lt;=$F10,O$3+6&gt;=$E10),"■","")</x:f>
      </x:c>
      <x:c r="P10" s="37" t="str">
        <x:f>IF(AND(P$3&lt;=$F10,P$3+6&gt;=$E10),"■","")</x:f>
      </x:c>
      <x:c r="Q10" s="37" t="str">
        <x:f>IF(AND(Q$3&lt;=$F10,Q$3+6&gt;=$E10),"■","")</x:f>
      </x:c>
      <x:c r="R10" s="37" t="str">
        <x:f>IF(AND(R$3&lt;=$F10,R$3+6&gt;=$E10),"■","")</x:f>
      </x:c>
      <x:c r="S10" s="37" t="str">
        <x:f>IF(AND(S$3&lt;=$F10,S$3+6&gt;=$E10),"■","")</x:f>
      </x:c>
      <x:c r="T10" s="37" t="str">
        <x:f>IF(AND(T$3&lt;=$F10,T$3+6&gt;=$E10),"■","")</x:f>
      </x:c>
      <x:c r="U10" s="37" t="str">
        <x:f>IF(AND(U$3&lt;=$F10,U$3+6&gt;=$E10),"■","")</x:f>
      </x:c>
      <x:c r="V10" s="37" t="str">
        <x:f>IF(AND(V$3&lt;=$F10,V$3+6&gt;=$E10),"■","")</x:f>
      </x:c>
    </x:row>
    <x:row r="11">
      <x:c r="A11" s="34" t="n">
        <x:v>8</x:v>
      </x:c>
      <x:c r="B11" s="34" t="str">
        <x:v>Review</x:v>
      </x:c>
      <x:c r="C11" s="34" t="str">
        <x:v>Teilreviews Inhalte/Rechte</x:v>
      </x:c>
      <x:c r="D11" s="34" t="str">
        <x:v>QS + Lehrkräfte</x:v>
      </x:c>
      <x:c r="E11" s="35" t="n">
        <x:v>46461</x:v>
      </x:c>
      <x:c r="F11" s="35" t="n">
        <x:v>46479</x:v>
      </x:c>
      <x:c r="G11" s="36" t="n">
        <x:f>IF(OR(E11="",F11=""),"",F11-E11+1)</x:f>
        <x:v>19</x:v>
      </x:c>
      <x:c r="H11" s="34" t="str">
        <x:v>3,4,5,6</x:v>
      </x:c>
      <x:c r="I11" s="34" t="str">
        <x:v>Offen</x:v>
      </x:c>
      <x:c r="J11" s="34" t="str">
        <x:v>Nein</x:v>
      </x:c>
      <x:c r="K11" s="37" t="str">
        <x:f>IF(AND(K$3&lt;=$F11,K$3+6&gt;=$E11),"■","")</x:f>
      </x:c>
      <x:c r="L11" s="37" t="str">
        <x:f>IF(AND(L$3&lt;=$F11,L$3+6&gt;=$E11),"■","")</x:f>
      </x:c>
      <x:c r="M11" s="37" t="str">
        <x:f>IF(AND(M$3&lt;=$F11,M$3+6&gt;=$E11),"■","")</x:f>
      </x:c>
      <x:c r="N11" s="37" t="str">
        <x:f>IF(AND(N$3&lt;=$F11,N$3+6&gt;=$E11),"■","")</x:f>
        <x:v>■</x:v>
      </x:c>
      <x:c r="O11" s="37" t="str">
        <x:f>IF(AND(O$3&lt;=$F11,O$3+6&gt;=$E11),"■","")</x:f>
        <x:v>■</x:v>
      </x:c>
      <x:c r="P11" s="37" t="str">
        <x:f>IF(AND(P$3&lt;=$F11,P$3+6&gt;=$E11),"■","")</x:f>
        <x:v>■</x:v>
      </x:c>
      <x:c r="Q11" s="37" t="str">
        <x:f>IF(AND(Q$3&lt;=$F11,Q$3+6&gt;=$E11),"■","")</x:f>
      </x:c>
      <x:c r="R11" s="37" t="str">
        <x:f>IF(AND(R$3&lt;=$F11,R$3+6&gt;=$E11),"■","")</x:f>
      </x:c>
      <x:c r="S11" s="37" t="str">
        <x:f>IF(AND(S$3&lt;=$F11,S$3+6&gt;=$E11),"■","")</x:f>
      </x:c>
      <x:c r="T11" s="37" t="str">
        <x:f>IF(AND(T$3&lt;=$F11,T$3+6&gt;=$E11),"■","")</x:f>
      </x:c>
      <x:c r="U11" s="37" t="str">
        <x:f>IF(AND(U$3&lt;=$F11,U$3+6&gt;=$E11),"■","")</x:f>
      </x:c>
      <x:c r="V11" s="37" t="str">
        <x:f>IF(AND(V$3&lt;=$F11,V$3+6&gt;=$E11),"■","")</x:f>
      </x:c>
    </x:row>
    <x:row r="12">
      <x:c r="A12" s="34" t="n">
        <x:v>9</x:v>
      </x:c>
      <x:c r="B12" s="34" t="str">
        <x:v>Layout</x:v>
      </x:c>
      <x:c r="C12" s="34" t="str">
        <x:v>Vollständiges Endlayout</x:v>
      </x:c>
      <x:c r="D12" s="34" t="str">
        <x:v>Layout</x:v>
      </x:c>
      <x:c r="E12" s="35" t="n">
        <x:v>46480</x:v>
      </x:c>
      <x:c r="F12" s="35" t="n">
        <x:v>46489</x:v>
      </x:c>
      <x:c r="G12" s="36" t="n">
        <x:f>IF(OR(E12="",F12=""),"",F12-E12+1)</x:f>
        <x:v>10</x:v>
      </x:c>
      <x:c r="H12" s="34" t="str">
        <x:v>4,5,6,7,8</x:v>
      </x:c>
      <x:c r="I12" s="34" t="str">
        <x:v>Offen</x:v>
      </x:c>
      <x:c r="J12" s="34" t="str">
        <x:v>Ja</x:v>
      </x:c>
      <x:c r="K12" s="37" t="str">
        <x:f>IF(AND(K$3&lt;=$F12,K$3+6&gt;=$E12),"■","")</x:f>
      </x:c>
      <x:c r="L12" s="37" t="str">
        <x:f>IF(AND(L$3&lt;=$F12,L$3+6&gt;=$E12),"■","")</x:f>
      </x:c>
      <x:c r="M12" s="37" t="str">
        <x:f>IF(AND(M$3&lt;=$F12,M$3+6&gt;=$E12),"■","")</x:f>
      </x:c>
      <x:c r="N12" s="37" t="str">
        <x:f>IF(AND(N$3&lt;=$F12,N$3+6&gt;=$E12),"■","")</x:f>
      </x:c>
      <x:c r="O12" s="37" t="str">
        <x:f>IF(AND(O$3&lt;=$F12,O$3+6&gt;=$E12),"■","")</x:f>
      </x:c>
      <x:c r="P12" s="37" t="str">
        <x:f>IF(AND(P$3&lt;=$F12,P$3+6&gt;=$E12),"■","")</x:f>
        <x:v>■</x:v>
      </x:c>
      <x:c r="Q12" s="37" t="str">
        <x:f>IF(AND(Q$3&lt;=$F12,Q$3+6&gt;=$E12),"■","")</x:f>
        <x:v>■</x:v>
      </x:c>
      <x:c r="R12" s="37" t="str">
        <x:f>IF(AND(R$3&lt;=$F12,R$3+6&gt;=$E12),"■","")</x:f>
        <x:v>■</x:v>
      </x:c>
      <x:c r="S12" s="37" t="str">
        <x:f>IF(AND(S$3&lt;=$F12,S$3+6&gt;=$E12),"■","")</x:f>
      </x:c>
      <x:c r="T12" s="37" t="str">
        <x:f>IF(AND(T$3&lt;=$F12,T$3+6&gt;=$E12),"■","")</x:f>
      </x:c>
      <x:c r="U12" s="37" t="str">
        <x:f>IF(AND(U$3&lt;=$F12,U$3+6&gt;=$E12),"■","")</x:f>
      </x:c>
      <x:c r="V12" s="37" t="str">
        <x:f>IF(AND(V$3&lt;=$F12,V$3+6&gt;=$E12),"■","")</x:f>
      </x:c>
    </x:row>
    <x:row r="13">
      <x:c r="A13" s="34" t="n">
        <x:v>10</x:v>
      </x:c>
      <x:c r="B13" s="34" t="str">
        <x:v>Review</x:v>
      </x:c>
      <x:c r="C13" s="34" t="str">
        <x:v>Gesamt-Review Lehrkräfte</x:v>
      </x:c>
      <x:c r="D13" s="34" t="str">
        <x:v>Lehrkräfte</x:v>
      </x:c>
      <x:c r="E13" s="35" t="n">
        <x:v>46490</x:v>
      </x:c>
      <x:c r="F13" s="35" t="n">
        <x:v>46496</x:v>
      </x:c>
      <x:c r="G13" s="36" t="n">
        <x:f>IF(OR(E13="",F13=""),"",F13-E13+1)</x:f>
        <x:v>7</x:v>
      </x:c>
      <x:c r="H13" s="34" t="str">
        <x:v>9</x:v>
      </x:c>
      <x:c r="I13" s="34" t="str">
        <x:v>Offen</x:v>
      </x:c>
      <x:c r="J13" s="34" t="str">
        <x:v>Nein</x:v>
      </x:c>
      <x:c r="K13" s="37" t="str">
        <x:f>IF(AND(K$3&lt;=$F13,K$3+6&gt;=$E13),"■","")</x:f>
      </x:c>
      <x:c r="L13" s="37" t="str">
        <x:f>IF(AND(L$3&lt;=$F13,L$3+6&gt;=$E13),"■","")</x:f>
      </x:c>
      <x:c r="M13" s="37" t="str">
        <x:f>IF(AND(M$3&lt;=$F13,M$3+6&gt;=$E13),"■","")</x:f>
      </x:c>
      <x:c r="N13" s="37" t="str">
        <x:f>IF(AND(N$3&lt;=$F13,N$3+6&gt;=$E13),"■","")</x:f>
      </x:c>
      <x:c r="O13" s="37" t="str">
        <x:f>IF(AND(O$3&lt;=$F13,O$3+6&gt;=$E13),"■","")</x:f>
      </x:c>
      <x:c r="P13" s="37" t="str">
        <x:f>IF(AND(P$3&lt;=$F13,P$3+6&gt;=$E13),"■","")</x:f>
      </x:c>
      <x:c r="Q13" s="37" t="str">
        <x:f>IF(AND(Q$3&lt;=$F13,Q$3+6&gt;=$E13),"■","")</x:f>
      </x:c>
      <x:c r="R13" s="37" t="str">
        <x:f>IF(AND(R$3&lt;=$F13,R$3+6&gt;=$E13),"■","")</x:f>
        <x:v>■</x:v>
      </x:c>
      <x:c r="S13" s="37" t="str">
        <x:f>IF(AND(S$3&lt;=$F13,S$3+6&gt;=$E13),"■","")</x:f>
        <x:v>■</x:v>
      </x:c>
      <x:c r="T13" s="37" t="str">
        <x:f>IF(AND(T$3&lt;=$F13,T$3+6&gt;=$E13),"■","")</x:f>
      </x:c>
      <x:c r="U13" s="37" t="str">
        <x:f>IF(AND(U$3&lt;=$F13,U$3+6&gt;=$E13),"■","")</x:f>
      </x:c>
      <x:c r="V13" s="37" t="str">
        <x:f>IF(AND(V$3&lt;=$F13,V$3+6&gt;=$E13),"■","")</x:f>
      </x:c>
    </x:row>
    <x:row r="14">
      <x:c r="A14" s="34" t="n">
        <x:v>11</x:v>
      </x:c>
      <x:c r="B14" s="34" t="str">
        <x:v>Korrektur</x:v>
      </x:c>
      <x:c r="C14" s="34" t="str">
        <x:v>Rückmeldungen einarbeiten</x:v>
      </x:c>
      <x:c r="D14" s="34" t="str">
        <x:v>Projektteam</x:v>
      </x:c>
      <x:c r="E14" s="35" t="n">
        <x:v>46497</x:v>
      </x:c>
      <x:c r="F14" s="35" t="n">
        <x:v>46503</x:v>
      </x:c>
      <x:c r="G14" s="36" t="n">
        <x:f>IF(OR(E14="",F14=""),"",F14-E14+1)</x:f>
        <x:v>7</x:v>
      </x:c>
      <x:c r="H14" s="34" t="str">
        <x:v>10</x:v>
      </x:c>
      <x:c r="I14" s="34" t="str">
        <x:v>Offen</x:v>
      </x:c>
      <x:c r="J14" s="34" t="str">
        <x:v>Nein</x:v>
      </x:c>
      <x:c r="K14" s="37" t="str">
        <x:f>IF(AND(K$3&lt;=$F14,K$3+6&gt;=$E14),"■","")</x:f>
      </x:c>
      <x:c r="L14" s="37" t="str">
        <x:f>IF(AND(L$3&lt;=$F14,L$3+6&gt;=$E14),"■","")</x:f>
      </x:c>
      <x:c r="M14" s="37" t="str">
        <x:f>IF(AND(M$3&lt;=$F14,M$3+6&gt;=$E14),"■","")</x:f>
      </x:c>
      <x:c r="N14" s="37" t="str">
        <x:f>IF(AND(N$3&lt;=$F14,N$3+6&gt;=$E14),"■","")</x:f>
      </x:c>
      <x:c r="O14" s="37" t="str">
        <x:f>IF(AND(O$3&lt;=$F14,O$3+6&gt;=$E14),"■","")</x:f>
      </x:c>
      <x:c r="P14" s="37" t="str">
        <x:f>IF(AND(P$3&lt;=$F14,P$3+6&gt;=$E14),"■","")</x:f>
      </x:c>
      <x:c r="Q14" s="37" t="str">
        <x:f>IF(AND(Q$3&lt;=$F14,Q$3+6&gt;=$E14),"■","")</x:f>
      </x:c>
      <x:c r="R14" s="37" t="str">
        <x:f>IF(AND(R$3&lt;=$F14,R$3+6&gt;=$E14),"■","")</x:f>
      </x:c>
      <x:c r="S14" s="37" t="str">
        <x:f>IF(AND(S$3&lt;=$F14,S$3+6&gt;=$E14),"■","")</x:f>
        <x:v>■</x:v>
      </x:c>
      <x:c r="T14" s="37" t="str">
        <x:f>IF(AND(T$3&lt;=$F14,T$3+6&gt;=$E14),"■","")</x:f>
        <x:v>■</x:v>
      </x:c>
      <x:c r="U14" s="37" t="str">
        <x:f>IF(AND(U$3&lt;=$F14,U$3+6&gt;=$E14),"■","")</x:f>
      </x:c>
      <x:c r="V14" s="37" t="str">
        <x:f>IF(AND(V$3&lt;=$F14,V$3+6&gt;=$E14),"■","")</x:f>
      </x:c>
    </x:row>
    <x:row r="15">
      <x:c r="A15" s="34" t="n">
        <x:v>12</x:v>
      </x:c>
      <x:c r="B15" s="34" t="str">
        <x:v>Freigabe</x:v>
      </x:c>
      <x:c r="C15" s="34" t="str">
        <x:v>Finale Prüfung / Druckfreigabe</x:v>
      </x:c>
      <x:c r="D15" s="34" t="str">
        <x:v>Verantwortliche</x:v>
      </x:c>
      <x:c r="E15" s="35" t="n">
        <x:v>46504</x:v>
      </x:c>
      <x:c r="F15" s="35" t="n">
        <x:v>46504</x:v>
      </x:c>
      <x:c r="G15" s="36" t="n">
        <x:f>IF(OR(E15="",F15=""),"",F15-E15+1)</x:f>
        <x:v>1</x:v>
      </x:c>
      <x:c r="H15" s="34" t="str">
        <x:v>11</x:v>
      </x:c>
      <x:c r="I15" s="34" t="str">
        <x:v>Offen</x:v>
      </x:c>
      <x:c r="J15" s="34" t="str">
        <x:v>Ja</x:v>
      </x:c>
      <x:c r="K15" s="37" t="str">
        <x:f>IF(AND(K$3&lt;=$F15,K$3+6&gt;=$E15),"■","")</x:f>
      </x:c>
      <x:c r="L15" s="37" t="str">
        <x:f>IF(AND(L$3&lt;=$F15,L$3+6&gt;=$E15),"■","")</x:f>
      </x:c>
      <x:c r="M15" s="37" t="str">
        <x:f>IF(AND(M$3&lt;=$F15,M$3+6&gt;=$E15),"■","")</x:f>
      </x:c>
      <x:c r="N15" s="37" t="str">
        <x:f>IF(AND(N$3&lt;=$F15,N$3+6&gt;=$E15),"■","")</x:f>
      </x:c>
      <x:c r="O15" s="37" t="str">
        <x:f>IF(AND(O$3&lt;=$F15,O$3+6&gt;=$E15),"■","")</x:f>
      </x:c>
      <x:c r="P15" s="37" t="str">
        <x:f>IF(AND(P$3&lt;=$F15,P$3+6&gt;=$E15),"■","")</x:f>
      </x:c>
      <x:c r="Q15" s="37" t="str">
        <x:f>IF(AND(Q$3&lt;=$F15,Q$3+6&gt;=$E15),"■","")</x:f>
      </x:c>
      <x:c r="R15" s="37" t="str">
        <x:f>IF(AND(R$3&lt;=$F15,R$3+6&gt;=$E15),"■","")</x:f>
      </x:c>
      <x:c r="S15" s="37" t="str">
        <x:f>IF(AND(S$3&lt;=$F15,S$3+6&gt;=$E15),"■","")</x:f>
      </x:c>
      <x:c r="T15" s="37" t="str">
        <x:f>IF(AND(T$3&lt;=$F15,T$3+6&gt;=$E15),"■","")</x:f>
        <x:v>■</x:v>
      </x:c>
      <x:c r="U15" s="37" t="str">
        <x:f>IF(AND(U$3&lt;=$F15,U$3+6&gt;=$E15),"■","")</x:f>
      </x:c>
      <x:c r="V15" s="37" t="str">
        <x:f>IF(AND(V$3&lt;=$F15,V$3+6&gt;=$E15),"■","")</x:f>
      </x:c>
    </x:row>
    <x:row r="16">
      <x:c r="A16" s="34" t="n">
        <x:v>13</x:v>
      </x:c>
      <x:c r="B16" s="34" t="str">
        <x:v>Produktion</x:v>
      </x:c>
      <x:c r="C16" s="34" t="str">
        <x:v>Druck / Veröffentlichung</x:v>
      </x:c>
      <x:c r="D16" s="34" t="str">
        <x:v>Koordination</x:v>
      </x:c>
      <x:c r="E16" s="35" t="n">
        <x:v>46505</x:v>
      </x:c>
      <x:c r="F16" s="35" t="n">
        <x:v>46512</x:v>
      </x:c>
      <x:c r="G16" s="36" t="n">
        <x:f>IF(OR(E16="",F16=""),"",F16-E16+1)</x:f>
        <x:v>8</x:v>
      </x:c>
      <x:c r="H16" s="34" t="str">
        <x:v>12</x:v>
      </x:c>
      <x:c r="I16" s="34" t="str">
        <x:v>Offen</x:v>
      </x:c>
      <x:c r="J16" s="34" t="str">
        <x:v>Ja</x:v>
      </x:c>
      <x:c r="K16" s="37" t="str">
        <x:f>IF(AND(K$3&lt;=$F16,K$3+6&gt;=$E16),"■","")</x:f>
      </x:c>
      <x:c r="L16" s="37" t="str">
        <x:f>IF(AND(L$3&lt;=$F16,L$3+6&gt;=$E16),"■","")</x:f>
      </x:c>
      <x:c r="M16" s="37" t="str">
        <x:f>IF(AND(M$3&lt;=$F16,M$3+6&gt;=$E16),"■","")</x:f>
      </x:c>
      <x:c r="N16" s="37" t="str">
        <x:f>IF(AND(N$3&lt;=$F16,N$3+6&gt;=$E16),"■","")</x:f>
      </x:c>
      <x:c r="O16" s="37" t="str">
        <x:f>IF(AND(O$3&lt;=$F16,O$3+6&gt;=$E16),"■","")</x:f>
      </x:c>
      <x:c r="P16" s="37" t="str">
        <x:f>IF(AND(P$3&lt;=$F16,P$3+6&gt;=$E16),"■","")</x:f>
      </x:c>
      <x:c r="Q16" s="37" t="str">
        <x:f>IF(AND(Q$3&lt;=$F16,Q$3+6&gt;=$E16),"■","")</x:f>
      </x:c>
      <x:c r="R16" s="37" t="str">
        <x:f>IF(AND(R$3&lt;=$F16,R$3+6&gt;=$E16),"■","")</x:f>
      </x:c>
      <x:c r="S16" s="37" t="str">
        <x:f>IF(AND(S$3&lt;=$F16,S$3+6&gt;=$E16),"■","")</x:f>
      </x:c>
      <x:c r="T16" s="37" t="str">
        <x:f>IF(AND(T$3&lt;=$F16,T$3+6&gt;=$E16),"■","")</x:f>
        <x:v>■</x:v>
      </x:c>
      <x:c r="U16" s="37" t="str">
        <x:f>IF(AND(U$3&lt;=$F16,U$3+6&gt;=$E16),"■","")</x:f>
        <x:v>■</x:v>
      </x:c>
      <x:c r="V16" s="37" t="str">
        <x:f>IF(AND(V$3&lt;=$F16,V$3+6&gt;=$E16),"■","")</x:f>
      </x:c>
    </x:row>
    <x:row r="17">
      <x:c r="E17" s="14"/>
      <x:c r="F17" s="14"/>
    </x:row>
    <x:row r="18">
      <x:c r="E18" s="14"/>
      <x:c r="F18" s="14"/>
    </x:row>
    <x:row r="19">
      <x:c r="E19" s="14"/>
      <x:c r="F19" s="14"/>
    </x:row>
    <x:row r="20">
      <x:c r="E20" s="14"/>
      <x:c r="F20" s="14"/>
    </x:row>
    <x:row r="21">
      <x:c r="E21" s="14"/>
      <x:c r="F21" s="14"/>
    </x:row>
    <x:row r="22">
      <x:c r="E22" s="14"/>
      <x:c r="F22" s="14"/>
    </x:row>
    <x:row r="23">
      <x:c r="E23" s="14"/>
      <x:c r="F23" s="14"/>
    </x:row>
    <x:row r="24">
      <x:c r="E24" s="14"/>
      <x:c r="F24" s="14"/>
    </x:row>
    <x:row r="25">
      <x:c r="E25" s="14"/>
      <x:c r="F25" s="14"/>
    </x:row>
    <x:row r="26">
      <x:c r="E26" s="14"/>
      <x:c r="F26" s="14"/>
    </x:row>
    <x:row r="27">
      <x:c r="E27" s="14"/>
      <x:c r="F27" s="14"/>
    </x:row>
    <x:row r="28">
      <x:c r="E28" s="14"/>
      <x:c r="F28" s="14"/>
    </x:row>
    <x:row r="29">
      <x:c r="E29" s="14"/>
      <x:c r="F29" s="14"/>
    </x:row>
    <x:row r="30">
      <x:c r="E30" s="14"/>
      <x:c r="F30" s="14"/>
    </x:row>
  </x:sheetData>
  <x:mergeCells>
    <x:mergeCell ref="A1:P1"/>
  </x:mergeCells>
  <x:dataValidations count="2">
    <x:dataValidation type="list" sqref="I4:I16">
      <x:formula1>"Offen,In Arbeit,Review/Prüfung,Fertig"</x:formula1>
    </x:dataValidation>
    <x:dataValidation type="list" sqref="J4:J16">
      <x:formula1>"Nein,Ja"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2" t="str">
        <x:v>Hinweise zur Nutzung</x:v>
      </x:c>
      <x:c r="B1" s="42"/>
      <x:c r="C1" s="42"/>
      <x:c r="D1" s="42"/>
    </x:row>
    <x:row r="3">
      <x:c r="A3" s="34" t="str">
        <x:v>1. Aufgaben, Verantwortliche sowie Start- und Endtermine eintragen.</x:v>
      </x:c>
    </x:row>
    <x:row r="4">
      <x:c r="A4" s="34" t="str">
        <x:v>2. Abhängigkeiten über die ID der Vorgängeraufgabe dokumentieren.</x:v>
      </x:c>
    </x:row>
    <x:row r="5">
      <x:c r="A5" s="34" t="str">
        <x:v>3. Status regelmäßig aktualisieren.</x:v>
      </x:c>
    </x:row>
    <x:row r="6">
      <x:c r="A6" s="34" t="str">
        <x:v>4. Meilensteine mit Ja kennzeichnen.</x:v>
      </x:c>
    </x:row>
    <x:row r="7">
      <x:c r="A7" s="34" t="str">
        <x:v>5. Die Zeitachse zeigt automatisch, in welchen Wochen eine Aufgabe liegt.</x:v>
      </x:c>
    </x:row>
    <x:row r="8">
      <x:c r="A8" s="34" t="str">
        <x:v>6. Der Plan wird bei Änderungen angepasst – er ist keine unveränderliche Vorhersage.</x:v>
      </x:c>
    </x:row>
    <x:row r="9">
      <x:c r="A9" s="34" t="str">
        <x:v>7. Reviews als laufende Qualitätsschritte einplanen.</x:v>
      </x:c>
    </x:row>
  </x:sheetData>
  <x:mergeCells>
    <x:mergeCell ref="A1:D1"/>
  </x:mergeCells>
  <x:pageMargins left="0.7" right="0.7" top="0.75" bottom="0.75" header="0.3" footer="0.3"/>
</x:worksheet>
</file>